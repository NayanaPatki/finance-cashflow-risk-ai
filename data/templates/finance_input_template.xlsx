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f3d1c1295a4e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858768a22174c57"/>
    <x:sheet xmlns:r="http://schemas.openxmlformats.org/officeDocument/2006/relationships" name="Assumptions" sheetId="2" r:id="Rc280cfa6a20c4f3b"/>
    <x:sheet xmlns:r="http://schemas.openxmlformats.org/officeDocument/2006/relationships" name="Transactions" sheetId="3" r:id="R8f3295ee4a154554"/>
    <x:sheet xmlns:r="http://schemas.openxmlformats.org/officeDocument/2006/relationships" name="Invoices" sheetId="4" r:id="Rdebebf1ecf29452e"/>
    <x:sheet xmlns:r="http://schemas.openxmlformats.org/officeDocument/2006/relationships" name="Checks" sheetId="5" r:id="Rc023aaffb6a74976"/>
  </x:sheets>
</x:workbook>
</file>

<file path=xl/comments1.xml><?xml version="1.0" encoding="utf-8"?>
<x:comments xmlns:x="http://schemas.openxmlformats.org/spreadsheetml/2006/main">
  <x:authors>
    <x:author>tc={28E3EB43-82D9-DB9A-243F-33CF8CEF7C8D}</x:author>
    <x:author>tc={DED2C786-25D8-AD72-8276-50062393FAC1}</x:author>
  </x:authors>
  <x:commentList>
    <x:comment ref="B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illustrative opening cash for portfolio demo | Owner: Finance | Date: 2026-06-30</x:t>
        </x:r>
      </x:text>
    </x:comment>
    <x:comment ref="B3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management minimum liquidity threshold | Owner: CFO | Date: 2026-06-30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;[Red]($#,##0);-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334155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0F6"/>
      </x:patternFill>
    </x:fill>
    <x:fill>
      <x:patternFill patternType="solid">
        <x:fgColor rgb="FF2A6F69"/>
      </x:patternFill>
    </x:fill>
    <x:fill>
      <x:patternFill patternType="solid">
        <x:fgColor rgb="FFFFFCE8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1" fontId="4" fillId="5" borderId="0" xfId="0" applyNumberFormat="1" applyFont="1" applyFill="1" applyBorder="1"/>
    <x:xf numFmtId="201" fontId="0" fillId="0" borderId="0" xfId="0" applyNumberFormat="1" applyFont="1" applyFill="1" applyBorder="1"/>
    <x:xf numFmtId="0" fontId="5" fillId="3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A43333"/>
      </x:font>
      <x:fill>
        <x:patternFill patternType="solid">
          <x:bgColor rgb="FFFDECEC"/>
        </x:patternFill>
      </x:fill>
    </x:dxf>
    <x:dxf>
      <x:font>
        <x:b/>
        <x:color rgb="FF176B50"/>
      </x:font>
      <x:fill>
        <x:patternFill patternType="solid">
          <x:bgColor rgb="FFE9F7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735616260141df" /><Relationship Type="http://schemas.openxmlformats.org/officeDocument/2006/relationships/theme" Target="/xl/theme/theme1.xml" Id="R8eba1fecea6a4abd" /><Relationship Type="http://schemas.openxmlformats.org/officeDocument/2006/relationships/sharedStrings" Target="/xl/sharedStrings.xml" Id="Refbe0e494ccb4c33" /><Relationship Type="http://schemas.openxmlformats.org/officeDocument/2006/relationships/worksheet" Target="/xl/worksheets/sheet1.xml" Id="R4858768a22174c57" /><Relationship Type="http://schemas.openxmlformats.org/officeDocument/2006/relationships/worksheet" Target="/xl/worksheets/sheet2.xml" Id="Rc280cfa6a20c4f3b" /><Relationship Type="http://schemas.openxmlformats.org/officeDocument/2006/relationships/worksheet" Target="/xl/worksheets/sheet3.xml" Id="R8f3295ee4a154554" /><Relationship Type="http://schemas.openxmlformats.org/officeDocument/2006/relationships/worksheet" Target="/xl/worksheets/sheet4.xml" Id="Rdebebf1ecf29452e" /><Relationship Type="http://schemas.openxmlformats.org/officeDocument/2006/relationships/worksheet" Target="/xl/worksheets/sheet5.xml" Id="Rc023aaffb6a74976" /><Relationship Type="http://schemas.microsoft.com/office/2017/10/relationships/person" Target="/xl/persons/person.xml" Id="Rc8fb7cbf69e24810" /></Relationships>
</file>

<file path=xl/persons/person.xml><?xml version="1.0" encoding="utf-8"?>
<xltc:personList xmlns:xltc="http://schemas.microsoft.com/office/spreadsheetml/2018/threadedcomments">
  <xltc:person displayName="Nayana Patki" id="{C235888D-865A-4E4D-8634-B91400767185}"/>
</xltc:personList>
</file>

<file path=xl/tables/table1.xml><?xml version="1.0" encoding="utf-8"?>
<x:table xmlns:x="http://schemas.openxmlformats.org/spreadsheetml/2006/main" id="1" name="TransactionsTable" displayName="TransactionsTable" ref="A1:I79" headerRowCount="1" totalsRowCount="0" totalsRowShown="0">
  <x:tableColumns count="9">
    <x:tableColumn id="1" name="transaction_id"/>
    <x:tableColumn id="2" name="transaction_date"/>
    <x:tableColumn id="3" name="account"/>
    <x:tableColumn id="4" name="direction"/>
    <x:tableColumn id="5" name="category"/>
    <x:tableColumn id="6" name="counterparty"/>
    <x:tableColumn id="7" name="amount"/>
    <x:tableColumn id="8" name="status"/>
    <x:tableColumn id="9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oicesTable" displayName="InvoicesTable" ref="A1:H13" headerRowCount="1" totalsRowCount="0" totalsRowShown="0">
  <x:tableColumns count="8">
    <x:tableColumn id="1" name="invoice_id"/>
    <x:tableColumn id="2" name="customer"/>
    <x:tableColumn id="3" name="issue_date"/>
    <x:tableColumn id="4" name="due_date"/>
    <x:tableColumn id="5" name="amount"/>
    <x:tableColumn id="6" name="amount_paid"/>
    <x:tableColumn id="7" name="payment_date"/>
    <x:tableColumn id="8" name="statu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2" dT="2026-07-21T09:47:53.002" personId="{C235888D-865A-4E4D-8634-B91400767185}" id="{28E3EB43-82D9-DB9A-243F-33CF8CEF7C8D}">
    <xltc:text>Assumption: illustrative opening cash for portfolio demo | Owner: Finance | Date: 2026-06-30</xltc:text>
  </xltc:threadedComment>
  <xltc:threadedComment ref="B3" dT="2026-07-21T09:47:53.002" personId="{C235888D-865A-4E4D-8634-B91400767185}" id="{DED2C786-25D8-AD72-8276-50062393FAC1}">
    <xltc:text>Assumption: management minimum liquidity threshold | Owner: CFO | Date: 2026-06-30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a5d7b04d670745c6" /><Relationship Type="http://schemas.openxmlformats.org/officeDocument/2006/relationships/vmlDrawing" Target="/xl/drawings/vmldrawing.vml" Id="R1bce5e13ee194046" /><Relationship Type="http://schemas.microsoft.com/office/2017/10/relationships/threadedComment" Target="/xl/threadedcomments/threadedcomment.xml" Id="R0c593c1997fd4d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826ad611dcd4a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4f275402a554c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2" customHeight="1">
      <x:c r="A1" s="2" t="str">
        <x:v>Finance Cash Flow &amp; Risk AI - Input Pack</x:v>
      </x:c>
      <x:c r="B1" s="2"/>
      <x:c r="C1" s="2"/>
      <x:c r="D1" s="2"/>
      <x:c r="E1" s="2"/>
      <x:c r="F1" s="2"/>
      <x:c r="G1" s="2"/>
      <x:c r="H1" s="2"/>
    </x:row>
    <x:row r="3">
      <x:c r="A3" s="4" t="str">
        <x:v>Model purpose</x:v>
      </x:c>
      <x:c r="B3" t="str">
        <x:v>13-week liquidity planning and financial risk monitoring</x:v>
      </x:c>
    </x:row>
    <x:row r="4">
      <x:c r="A4" s="4" t="str">
        <x:v>Version</x:v>
      </x:c>
      <x:c r="B4" t="str">
        <x:v>1.0</x:v>
      </x:c>
    </x:row>
    <x:row r="5">
      <x:c r="A5" s="4" t="str">
        <x:v>As-of date</x:v>
      </x:c>
      <x:c r="B5" s="5" t="n">
        <x:v>46203</x:v>
      </x:c>
    </x:row>
    <x:row r="6">
      <x:c r="A6" s="4" t="str">
        <x:v>Currency</x:v>
      </x:c>
      <x:c r="B6" t="str">
        <x:v>USD</x:v>
      </x:c>
    </x:row>
    <x:row r="7">
      <x:c r="A7" s="4" t="str">
        <x:v>Scenario</x:v>
      </x:c>
      <x:c r="B7" t="str">
        <x:v>Base</x:v>
      </x:c>
    </x:row>
    <x:row r="8">
      <x:c r="A8" s="4" t="str">
        <x:v>Owner</x:v>
      </x:c>
      <x:c r="B8" t="str">
        <x:v>Finance / FP&amp;A</x:v>
      </x:c>
    </x:row>
    <x:row r="10">
      <x:c r="A10" s="7" t="str">
        <x:v>Refresh Instructions</x:v>
      </x:c>
      <x:c r="B10" s="7"/>
      <x:c r="C10" s="7"/>
      <x:c r="D10" s="7"/>
      <x:c r="E10" s="7"/>
      <x:c r="F10" s="7"/>
      <x:c r="G10" s="7"/>
      <x:c r="H10" s="7"/>
    </x:row>
    <x:row r="11">
      <x:c r="A11" s="9" t="str">
        <x:v>Update the blue assumption cells, paste bank/ERP exports into Transactions, and update open invoices in Invoices. The application uses matching CSV exports from these sheets. All imported values are illustrative portfolio data.</x:v>
      </x:c>
      <x:c r="B11" s="9"/>
      <x:c r="C11" s="9"/>
      <x:c r="D11" s="9"/>
      <x:c r="E11" s="9"/>
      <x:c r="F11" s="9"/>
      <x:c r="G11" s="9"/>
      <x:c r="H11" s="9"/>
    </x:row>
    <x:row r="12">
      <x:c r="A12" s="9"/>
      <x:c r="B12" s="9"/>
      <x:c r="C12" s="9"/>
      <x:c r="D12" s="9"/>
      <x:c r="E12" s="9"/>
      <x:c r="F12" s="9"/>
      <x:c r="G12" s="9"/>
      <x:c r="H12" s="9"/>
    </x:row>
    <x:row r="13">
      <x:c r="A13" s="9"/>
      <x:c r="B13" s="9"/>
      <x:c r="C13" s="9"/>
      <x:c r="D13" s="9"/>
      <x:c r="E13" s="9"/>
      <x:c r="F13" s="9"/>
      <x:c r="G13" s="9"/>
      <x:c r="H13" s="9"/>
    </x:row>
    <x:row r="14">
      <x:c r="A14" s="9"/>
      <x:c r="B14" s="9"/>
      <x:c r="C14" s="9"/>
      <x:c r="D14" s="9"/>
      <x:c r="E14" s="9"/>
      <x:c r="F14" s="9"/>
      <x:c r="G14" s="9"/>
      <x:c r="H14" s="9"/>
    </x:row>
  </x:sheetData>
  <x:mergeCells>
    <x:mergeCell ref="A1:H1"/>
    <x:mergeCell ref="A10:H10"/>
    <x:mergeCell ref="A11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3799991607666" hidden="0" customWidth="1"/>
    <x:col min="2" max="2" width="7.5" hidden="0" customWidth="1"/>
    <x:col min="3" max="3" width="5.25" hidden="0" customWidth="1"/>
    <x:col min="4" max="4" width="48" hidden="0" customWidth="1"/>
  </x:cols>
  <x:sheetData>
    <x:row r="1">
      <x:c r="A1" s="10" t="str">
        <x:v>assumption</x:v>
      </x:c>
      <x:c r="B1" s="10" t="str">
        <x:v>value</x:v>
      </x:c>
      <x:c r="C1" s="10" t="str">
        <x:v>unit</x:v>
      </x:c>
      <x:c r="D1" s="10" t="str">
        <x:v>description</x:v>
      </x:c>
    </x:row>
    <x:row r="2">
      <x:c r="A2" t="str">
        <x:v>opening_cash</x:v>
      </x:c>
      <x:c r="B2" s="13" t="n">
        <x:v>180000</x:v>
      </x:c>
      <x:c r="C2" t="str">
        <x:v>USD</x:v>
      </x:c>
      <x:c r="D2" t="str">
        <x:v>Cash balance immediately before the first actual transaction</x:v>
      </x:c>
    </x:row>
    <x:row r="3">
      <x:c r="A3" t="str">
        <x:v>minimum_cash_buffer</x:v>
      </x:c>
      <x:c r="B3" s="13" t="n">
        <x:v>120000</x:v>
      </x:c>
      <x:c r="C3" t="str">
        <x:v>USD</x:v>
      </x:c>
      <x:c r="D3" t="str">
        <x:v>Management minimum operating liquidity threshold</x:v>
      </x:c>
    </x:row>
    <x:row r="4">
      <x:c r="A4" t="str">
        <x:v>forecast_weeks</x:v>
      </x:c>
      <x:c r="B4" s="12" t="n">
        <x:v>13</x:v>
      </x:c>
      <x:c r="C4" t="str">
        <x:v>weeks</x:v>
      </x:c>
      <x:c r="D4" t="str">
        <x:v>Rolling cash forecast horizon</x:v>
      </x:c>
    </x:row>
  </x:sheetData>
  <x:pageMargins left="0.7" right="0.7" top="0.75" bottom="0.75" header="0.3" footer="0.3"/>
  <x:legacyDrawing xmlns:r="http://schemas.openxmlformats.org/officeDocument/2006/relationships" r:id="R1bce5e13ee194046"/>
</x:worksheet>
</file>

<file path=xl/worksheets/sheet3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3.5" hidden="0" customWidth="1"/>
    <x:col min="3" max="3" width="14.5" hidden="0" customWidth="1"/>
    <x:col min="4" max="4" width="7.380000114440918" hidden="0" customWidth="1"/>
    <x:col min="5" max="5" width="16.1299991607666" hidden="0" customWidth="1"/>
    <x:col min="6" max="6" width="17.1299991607666" hidden="0" customWidth="1"/>
    <x:col min="7" max="7" width="6.630000114440918" hidden="0" customWidth="1"/>
    <x:col min="8" max="8" width="6.630000114440918" hidden="0" customWidth="1"/>
    <x:col min="9" max="9" width="36" hidden="0" customWidth="1"/>
  </x:cols>
  <x:sheetData>
    <x:row r="1">
      <x:c r="A1" s="10" t="str">
        <x:v>transaction_id</x:v>
      </x:c>
      <x:c r="B1" s="10" t="str">
        <x:v>transaction_date</x:v>
      </x:c>
      <x:c r="C1" s="10" t="str">
        <x:v>account</x:v>
      </x:c>
      <x:c r="D1" s="10" t="str">
        <x:v>direction</x:v>
      </x:c>
      <x:c r="E1" s="10" t="str">
        <x:v>category</x:v>
      </x:c>
      <x:c r="F1" s="10" t="str">
        <x:v>counterparty</x:v>
      </x:c>
      <x:c r="G1" s="10" t="str">
        <x:v>amount</x:v>
      </x:c>
      <x:c r="H1" s="10" t="str">
        <x:v>status</x:v>
      </x:c>
      <x:c r="I1" s="10" t="str">
        <x:v>description</x:v>
      </x:c>
    </x:row>
    <x:row r="2">
      <x:c r="A2" t="str">
        <x:v>TX-0001</x:v>
      </x:c>
      <x:c r="B2" s="5" t="n">
        <x:v>46115</x:v>
      </x:c>
      <x:c r="C2" t="str">
        <x:v>Operating Account</x:v>
      </x:c>
      <x:c r="D2" t="str">
        <x:v>inflow</x:v>
      </x:c>
      <x:c r="E2" t="str">
        <x:v>Customer Receipts</x:v>
      </x:c>
      <x:c r="F2" t="str">
        <x:v>Northstar Retail</x:v>
      </x:c>
      <x:c r="G2" s="14" t="n">
        <x:v>38000</x:v>
      </x:c>
      <x:c r="H2" t="str">
        <x:v>actual</x:v>
      </x:c>
      <x:c r="I2" t="str">
        <x:v>Weekly customer collections</x:v>
      </x:c>
    </x:row>
    <x:row r="3">
      <x:c r="A3" t="str">
        <x:v>TX-0002</x:v>
      </x:c>
      <x:c r="B3" s="5" t="n">
        <x:v>46116</x:v>
      </x:c>
      <x:c r="C3" t="str">
        <x:v>Operating Account</x:v>
      </x:c>
      <x:c r="D3" t="str">
        <x:v>outflow</x:v>
      </x:c>
      <x:c r="E3" t="str">
        <x:v>Payroll</x:v>
      </x:c>
      <x:c r="F3" t="str">
        <x:v>Payroll Provider</x:v>
      </x:c>
      <x:c r="G3" s="14" t="n">
        <x:v>18000</x:v>
      </x:c>
      <x:c r="H3" t="str">
        <x:v>actual</x:v>
      </x:c>
      <x:c r="I3" t="str">
        <x:v>Weekly payroll and benefits</x:v>
      </x:c>
    </x:row>
    <x:row r="4">
      <x:c r="A4" t="str">
        <x:v>TX-0003</x:v>
      </x:c>
      <x:c r="B4" s="5" t="n">
        <x:v>46117</x:v>
      </x:c>
      <x:c r="C4" t="str">
        <x:v>Operating Account</x:v>
      </x:c>
      <x:c r="D4" t="str">
        <x:v>outflow</x:v>
      </x:c>
      <x:c r="E4" t="str">
        <x:v>Suppliers</x:v>
      </x:c>
      <x:c r="F4" t="str">
        <x:v>Core Materials</x:v>
      </x:c>
      <x:c r="G4" s="14" t="n">
        <x:v>7600</x:v>
      </x:c>
      <x:c r="H4" t="str">
        <x:v>actual</x:v>
      </x:c>
      <x:c r="I4" t="str">
        <x:v>Inventory and fulfillment vendors</x:v>
      </x:c>
    </x:row>
    <x:row r="5">
      <x:c r="A5" t="str">
        <x:v>TX-0004</x:v>
      </x:c>
      <x:c r="B5" s="5" t="n">
        <x:v>46118</x:v>
      </x:c>
      <x:c r="C5" t="str">
        <x:v>Operating Account</x:v>
      </x:c>
      <x:c r="D5" t="str">
        <x:v>outflow</x:v>
      </x:c>
      <x:c r="E5" t="str">
        <x:v>Cloud &amp; Software</x:v>
      </x:c>
      <x:c r="F5" t="str">
        <x:v>CloudStack</x:v>
      </x:c>
      <x:c r="G5" s="14" t="n">
        <x:v>2900</x:v>
      </x:c>
      <x:c r="H5" t="str">
        <x:v>actual</x:v>
      </x:c>
      <x:c r="I5" t="str">
        <x:v>Cloud and SaaS services</x:v>
      </x:c>
    </x:row>
    <x:row r="6">
      <x:c r="A6" t="str">
        <x:v>TX-0005</x:v>
      </x:c>
      <x:c r="B6" s="5" t="n">
        <x:v>46119</x:v>
      </x:c>
      <x:c r="C6" t="str">
        <x:v>Operating Account</x:v>
      </x:c>
      <x:c r="D6" t="str">
        <x:v>outflow</x:v>
      </x:c>
      <x:c r="E6" t="str">
        <x:v>Marketing</x:v>
      </x:c>
      <x:c r="F6" t="str">
        <x:v>Growth Media</x:v>
      </x:c>
      <x:c r="G6" s="14" t="n">
        <x:v>4300</x:v>
      </x:c>
      <x:c r="H6" t="str">
        <x:v>actual</x:v>
      </x:c>
      <x:c r="I6" t="str">
        <x:v>Performance marketing</x:v>
      </x:c>
    </x:row>
    <x:row r="7">
      <x:c r="A7" t="str">
        <x:v>TX-0006</x:v>
      </x:c>
      <x:c r="B7" s="5" t="n">
        <x:v>46116</x:v>
      </x:c>
      <x:c r="C7" t="str">
        <x:v>Operating Account</x:v>
      </x:c>
      <x:c r="D7" t="str">
        <x:v>outflow</x:v>
      </x:c>
      <x:c r="E7" t="str">
        <x:v>Rent</x:v>
      </x:c>
      <x:c r="F7" t="str">
        <x:v>Harbor Properties</x:v>
      </x:c>
      <x:c r="G7" s="14" t="n">
        <x:v>7800</x:v>
      </x:c>
      <x:c r="H7" t="str">
        <x:v>actual</x:v>
      </x:c>
      <x:c r="I7" t="str">
        <x:v>Office and warehouse rent</x:v>
      </x:c>
    </x:row>
    <x:row r="8">
      <x:c r="A8" t="str">
        <x:v>TX-0007</x:v>
      </x:c>
      <x:c r="B8" s="5" t="n">
        <x:v>46122</x:v>
      </x:c>
      <x:c r="C8" t="str">
        <x:v>Operating Account</x:v>
      </x:c>
      <x:c r="D8" t="str">
        <x:v>inflow</x:v>
      </x:c>
      <x:c r="E8" t="str">
        <x:v>Customer Receipts</x:v>
      </x:c>
      <x:c r="F8" t="str">
        <x:v>Apex Distribution</x:v>
      </x:c>
      <x:c r="G8" s="14" t="n">
        <x:v>42000</x:v>
      </x:c>
      <x:c r="H8" t="str">
        <x:v>actual</x:v>
      </x:c>
      <x:c r="I8" t="str">
        <x:v>Weekly customer collections</x:v>
      </x:c>
    </x:row>
    <x:row r="9">
      <x:c r="A9" t="str">
        <x:v>TX-0008</x:v>
      </x:c>
      <x:c r="B9" s="5" t="n">
        <x:v>46123</x:v>
      </x:c>
      <x:c r="C9" t="str">
        <x:v>Operating Account</x:v>
      </x:c>
      <x:c r="D9" t="str">
        <x:v>outflow</x:v>
      </x:c>
      <x:c r="E9" t="str">
        <x:v>Payroll</x:v>
      </x:c>
      <x:c r="F9" t="str">
        <x:v>Payroll Provider</x:v>
      </x:c>
      <x:c r="G9" s="14" t="n">
        <x:v>18000</x:v>
      </x:c>
      <x:c r="H9" t="str">
        <x:v>actual</x:v>
      </x:c>
      <x:c r="I9" t="str">
        <x:v>Weekly payroll and benefits</x:v>
      </x:c>
    </x:row>
    <x:row r="10">
      <x:c r="A10" t="str">
        <x:v>TX-0009</x:v>
      </x:c>
      <x:c r="B10" s="5" t="n">
        <x:v>46124</x:v>
      </x:c>
      <x:c r="C10" t="str">
        <x:v>Operating Account</x:v>
      </x:c>
      <x:c r="D10" t="str">
        <x:v>outflow</x:v>
      </x:c>
      <x:c r="E10" t="str">
        <x:v>Suppliers</x:v>
      </x:c>
      <x:c r="F10" t="str">
        <x:v>PackRight</x:v>
      </x:c>
      <x:c r="G10" s="14" t="n">
        <x:v>8450</x:v>
      </x:c>
      <x:c r="H10" t="str">
        <x:v>actual</x:v>
      </x:c>
      <x:c r="I10" t="str">
        <x:v>Inventory and fulfillment vendors</x:v>
      </x:c>
    </x:row>
    <x:row r="11">
      <x:c r="A11" t="str">
        <x:v>TX-0010</x:v>
      </x:c>
      <x:c r="B11" s="5" t="n">
        <x:v>46125</x:v>
      </x:c>
      <x:c r="C11" t="str">
        <x:v>Operating Account</x:v>
      </x:c>
      <x:c r="D11" t="str">
        <x:v>outflow</x:v>
      </x:c>
      <x:c r="E11" t="str">
        <x:v>Cloud &amp; Software</x:v>
      </x:c>
      <x:c r="F11" t="str">
        <x:v>CloudStack</x:v>
      </x:c>
      <x:c r="G11" s="14" t="n">
        <x:v>2900</x:v>
      </x:c>
      <x:c r="H11" t="str">
        <x:v>actual</x:v>
      </x:c>
      <x:c r="I11" t="str">
        <x:v>Cloud and SaaS services</x:v>
      </x:c>
    </x:row>
    <x:row r="12">
      <x:c r="A12" t="str">
        <x:v>TX-0011</x:v>
      </x:c>
      <x:c r="B12" s="5" t="n">
        <x:v>46126</x:v>
      </x:c>
      <x:c r="C12" t="str">
        <x:v>Operating Account</x:v>
      </x:c>
      <x:c r="D12" t="str">
        <x:v>outflow</x:v>
      </x:c>
      <x:c r="E12" t="str">
        <x:v>Marketing</x:v>
      </x:c>
      <x:c r="F12" t="str">
        <x:v>Growth Media</x:v>
      </x:c>
      <x:c r="G12" s="14" t="n">
        <x:v>4800</x:v>
      </x:c>
      <x:c r="H12" t="str">
        <x:v>actual</x:v>
      </x:c>
      <x:c r="I12" t="str">
        <x:v>Performance marketing</x:v>
      </x:c>
    </x:row>
    <x:row r="13">
      <x:c r="A13" t="str">
        <x:v>TX-0012</x:v>
      </x:c>
      <x:c r="B13" s="5" t="n">
        <x:v>46129</x:v>
      </x:c>
      <x:c r="C13" t="str">
        <x:v>Operating Account</x:v>
      </x:c>
      <x:c r="D13" t="str">
        <x:v>inflow</x:v>
      </x:c>
      <x:c r="E13" t="str">
        <x:v>Customer Receipts</x:v>
      </x:c>
      <x:c r="F13" t="str">
        <x:v>BluePeak Foods</x:v>
      </x:c>
      <x:c r="G13" s="14" t="n">
        <x:v>35500</x:v>
      </x:c>
      <x:c r="H13" t="str">
        <x:v>actual</x:v>
      </x:c>
      <x:c r="I13" t="str">
        <x:v>Weekly customer collections</x:v>
      </x:c>
    </x:row>
    <x:row r="14">
      <x:c r="A14" t="str">
        <x:v>TX-0013</x:v>
      </x:c>
      <x:c r="B14" s="5" t="n">
        <x:v>46130</x:v>
      </x:c>
      <x:c r="C14" t="str">
        <x:v>Operating Account</x:v>
      </x:c>
      <x:c r="D14" t="str">
        <x:v>outflow</x:v>
      </x:c>
      <x:c r="E14" t="str">
        <x:v>Payroll</x:v>
      </x:c>
      <x:c r="F14" t="str">
        <x:v>Payroll Provider</x:v>
      </x:c>
      <x:c r="G14" s="14" t="n">
        <x:v>18000</x:v>
      </x:c>
      <x:c r="H14" t="str">
        <x:v>actual</x:v>
      </x:c>
      <x:c r="I14" t="str">
        <x:v>Weekly payroll and benefits</x:v>
      </x:c>
    </x:row>
    <x:row r="15">
      <x:c r="A15" t="str">
        <x:v>TX-0014</x:v>
      </x:c>
      <x:c r="B15" s="5" t="n">
        <x:v>46131</x:v>
      </x:c>
      <x:c r="C15" t="str">
        <x:v>Operating Account</x:v>
      </x:c>
      <x:c r="D15" t="str">
        <x:v>outflow</x:v>
      </x:c>
      <x:c r="E15" t="str">
        <x:v>Suppliers</x:v>
      </x:c>
      <x:c r="F15" t="str">
        <x:v>TransitWorks</x:v>
      </x:c>
      <x:c r="G15" s="14" t="n">
        <x:v>9300</x:v>
      </x:c>
      <x:c r="H15" t="str">
        <x:v>actual</x:v>
      </x:c>
      <x:c r="I15" t="str">
        <x:v>Inventory and fulfillment vendors</x:v>
      </x:c>
    </x:row>
    <x:row r="16">
      <x:c r="A16" t="str">
        <x:v>TX-0015</x:v>
      </x:c>
      <x:c r="B16" s="5" t="n">
        <x:v>46132</x:v>
      </x:c>
      <x:c r="C16" t="str">
        <x:v>Operating Account</x:v>
      </x:c>
      <x:c r="D16" t="str">
        <x:v>outflow</x:v>
      </x:c>
      <x:c r="E16" t="str">
        <x:v>Cloud &amp; Software</x:v>
      </x:c>
      <x:c r="F16" t="str">
        <x:v>CloudStack</x:v>
      </x:c>
      <x:c r="G16" s="14" t="n">
        <x:v>2900</x:v>
      </x:c>
      <x:c r="H16" t="str">
        <x:v>actual</x:v>
      </x:c>
      <x:c r="I16" t="str">
        <x:v>Cloud and SaaS services</x:v>
      </x:c>
    </x:row>
    <x:row r="17">
      <x:c r="A17" t="str">
        <x:v>TX-0016</x:v>
      </x:c>
      <x:c r="B17" s="5" t="n">
        <x:v>46133</x:v>
      </x:c>
      <x:c r="C17" t="str">
        <x:v>Operating Account</x:v>
      </x:c>
      <x:c r="D17" t="str">
        <x:v>outflow</x:v>
      </x:c>
      <x:c r="E17" t="str">
        <x:v>Marketing</x:v>
      </x:c>
      <x:c r="F17" t="str">
        <x:v>Growth Media</x:v>
      </x:c>
      <x:c r="G17" s="14" t="n">
        <x:v>4300</x:v>
      </x:c>
      <x:c r="H17" t="str">
        <x:v>actual</x:v>
      </x:c>
      <x:c r="I17" t="str">
        <x:v>Performance marketing</x:v>
      </x:c>
    </x:row>
    <x:row r="18">
      <x:c r="A18" t="str">
        <x:v>TX-0017</x:v>
      </x:c>
      <x:c r="B18" s="5" t="n">
        <x:v>46136</x:v>
      </x:c>
      <x:c r="C18" t="str">
        <x:v>Operating Account</x:v>
      </x:c>
      <x:c r="D18" t="str">
        <x:v>inflow</x:v>
      </x:c>
      <x:c r="E18" t="str">
        <x:v>Customer Receipts</x:v>
      </x:c>
      <x:c r="F18" t="str">
        <x:v>Vertex Labs</x:v>
      </x:c>
      <x:c r="G18" s="14" t="n">
        <x:v>47000</x:v>
      </x:c>
      <x:c r="H18" t="str">
        <x:v>actual</x:v>
      </x:c>
      <x:c r="I18" t="str">
        <x:v>Weekly customer collections</x:v>
      </x:c>
    </x:row>
    <x:row r="19">
      <x:c r="A19" t="str">
        <x:v>TX-0018</x:v>
      </x:c>
      <x:c r="B19" s="5" t="n">
        <x:v>46137</x:v>
      </x:c>
      <x:c r="C19" t="str">
        <x:v>Operating Account</x:v>
      </x:c>
      <x:c r="D19" t="str">
        <x:v>outflow</x:v>
      </x:c>
      <x:c r="E19" t="str">
        <x:v>Payroll</x:v>
      </x:c>
      <x:c r="F19" t="str">
        <x:v>Payroll Provider</x:v>
      </x:c>
      <x:c r="G19" s="14" t="n">
        <x:v>18000</x:v>
      </x:c>
      <x:c r="H19" t="str">
        <x:v>actual</x:v>
      </x:c>
      <x:c r="I19" t="str">
        <x:v>Weekly payroll and benefits</x:v>
      </x:c>
    </x:row>
    <x:row r="20">
      <x:c r="A20" t="str">
        <x:v>TX-0019</x:v>
      </x:c>
      <x:c r="B20" s="5" t="n">
        <x:v>46138</x:v>
      </x:c>
      <x:c r="C20" t="str">
        <x:v>Operating Account</x:v>
      </x:c>
      <x:c r="D20" t="str">
        <x:v>outflow</x:v>
      </x:c>
      <x:c r="E20" t="str">
        <x:v>Suppliers</x:v>
      </x:c>
      <x:c r="F20" t="str">
        <x:v>Core Materials</x:v>
      </x:c>
      <x:c r="G20" s="14" t="n">
        <x:v>7600</x:v>
      </x:c>
      <x:c r="H20" t="str">
        <x:v>actual</x:v>
      </x:c>
      <x:c r="I20" t="str">
        <x:v>Inventory and fulfillment vendors</x:v>
      </x:c>
    </x:row>
    <x:row r="21">
      <x:c r="A21" t="str">
        <x:v>TX-0020</x:v>
      </x:c>
      <x:c r="B21" s="5" t="n">
        <x:v>46139</x:v>
      </x:c>
      <x:c r="C21" t="str">
        <x:v>Operating Account</x:v>
      </x:c>
      <x:c r="D21" t="str">
        <x:v>outflow</x:v>
      </x:c>
      <x:c r="E21" t="str">
        <x:v>Cloud &amp; Software</x:v>
      </x:c>
      <x:c r="F21" t="str">
        <x:v>CloudStack</x:v>
      </x:c>
      <x:c r="G21" s="14" t="n">
        <x:v>2900</x:v>
      </x:c>
      <x:c r="H21" t="str">
        <x:v>actual</x:v>
      </x:c>
      <x:c r="I21" t="str">
        <x:v>Cloud and SaaS services</x:v>
      </x:c>
    </x:row>
    <x:row r="22">
      <x:c r="A22" t="str">
        <x:v>TX-0021</x:v>
      </x:c>
      <x:c r="B22" s="5" t="n">
        <x:v>46140</x:v>
      </x:c>
      <x:c r="C22" t="str">
        <x:v>Operating Account</x:v>
      </x:c>
      <x:c r="D22" t="str">
        <x:v>outflow</x:v>
      </x:c>
      <x:c r="E22" t="str">
        <x:v>Marketing</x:v>
      </x:c>
      <x:c r="F22" t="str">
        <x:v>Growth Media</x:v>
      </x:c>
      <x:c r="G22" s="14" t="n">
        <x:v>4800</x:v>
      </x:c>
      <x:c r="H22" t="str">
        <x:v>actual</x:v>
      </x:c>
      <x:c r="I22" t="str">
        <x:v>Performance marketing</x:v>
      </x:c>
    </x:row>
    <x:row r="23">
      <x:c r="A23" t="str">
        <x:v>TX-0022</x:v>
      </x:c>
      <x:c r="B23" s="5" t="n">
        <x:v>46143</x:v>
      </x:c>
      <x:c r="C23" t="str">
        <x:v>Operating Account</x:v>
      </x:c>
      <x:c r="D23" t="str">
        <x:v>inflow</x:v>
      </x:c>
      <x:c r="E23" t="str">
        <x:v>Customer Receipts</x:v>
      </x:c>
      <x:c r="F23" t="str">
        <x:v>Northstar Retail</x:v>
      </x:c>
      <x:c r="G23" s="14" t="n">
        <x:v>40500</x:v>
      </x:c>
      <x:c r="H23" t="str">
        <x:v>actual</x:v>
      </x:c>
      <x:c r="I23" t="str">
        <x:v>Weekly customer collections</x:v>
      </x:c>
    </x:row>
    <x:row r="24">
      <x:c r="A24" t="str">
        <x:v>TX-0023</x:v>
      </x:c>
      <x:c r="B24" s="5" t="n">
        <x:v>46144</x:v>
      </x:c>
      <x:c r="C24" t="str">
        <x:v>Operating Account</x:v>
      </x:c>
      <x:c r="D24" t="str">
        <x:v>outflow</x:v>
      </x:c>
      <x:c r="E24" t="str">
        <x:v>Payroll</x:v>
      </x:c>
      <x:c r="F24" t="str">
        <x:v>Payroll Provider</x:v>
      </x:c>
      <x:c r="G24" s="14" t="n">
        <x:v>18000</x:v>
      </x:c>
      <x:c r="H24" t="str">
        <x:v>actual</x:v>
      </x:c>
      <x:c r="I24" t="str">
        <x:v>Weekly payroll and benefits</x:v>
      </x:c>
    </x:row>
    <x:row r="25">
      <x:c r="A25" t="str">
        <x:v>TX-0024</x:v>
      </x:c>
      <x:c r="B25" s="5" t="n">
        <x:v>46145</x:v>
      </x:c>
      <x:c r="C25" t="str">
        <x:v>Operating Account</x:v>
      </x:c>
      <x:c r="D25" t="str">
        <x:v>outflow</x:v>
      </x:c>
      <x:c r="E25" t="str">
        <x:v>Suppliers</x:v>
      </x:c>
      <x:c r="F25" t="str">
        <x:v>PackRight</x:v>
      </x:c>
      <x:c r="G25" s="14" t="n">
        <x:v>8450</x:v>
      </x:c>
      <x:c r="H25" t="str">
        <x:v>actual</x:v>
      </x:c>
      <x:c r="I25" t="str">
        <x:v>Inventory and fulfillment vendors</x:v>
      </x:c>
    </x:row>
    <x:row r="26">
      <x:c r="A26" t="str">
        <x:v>TX-0025</x:v>
      </x:c>
      <x:c r="B26" s="5" t="n">
        <x:v>46146</x:v>
      </x:c>
      <x:c r="C26" t="str">
        <x:v>Operating Account</x:v>
      </x:c>
      <x:c r="D26" t="str">
        <x:v>outflow</x:v>
      </x:c>
      <x:c r="E26" t="str">
        <x:v>Cloud &amp; Software</x:v>
      </x:c>
      <x:c r="F26" t="str">
        <x:v>CloudStack</x:v>
      </x:c>
      <x:c r="G26" s="14" t="n">
        <x:v>2900</x:v>
      </x:c>
      <x:c r="H26" t="str">
        <x:v>actual</x:v>
      </x:c>
      <x:c r="I26" t="str">
        <x:v>Cloud and SaaS services</x:v>
      </x:c>
    </x:row>
    <x:row r="27">
      <x:c r="A27" t="str">
        <x:v>TX-0026</x:v>
      </x:c>
      <x:c r="B27" s="5" t="n">
        <x:v>46147</x:v>
      </x:c>
      <x:c r="C27" t="str">
        <x:v>Operating Account</x:v>
      </x:c>
      <x:c r="D27" t="str">
        <x:v>outflow</x:v>
      </x:c>
      <x:c r="E27" t="str">
        <x:v>Marketing</x:v>
      </x:c>
      <x:c r="F27" t="str">
        <x:v>Growth Media</x:v>
      </x:c>
      <x:c r="G27" s="14" t="n">
        <x:v>4300</x:v>
      </x:c>
      <x:c r="H27" t="str">
        <x:v>actual</x:v>
      </x:c>
      <x:c r="I27" t="str">
        <x:v>Performance marketing</x:v>
      </x:c>
    </x:row>
    <x:row r="28">
      <x:c r="A28" t="str">
        <x:v>TX-0027</x:v>
      </x:c>
      <x:c r="B28" s="5" t="n">
        <x:v>46144</x:v>
      </x:c>
      <x:c r="C28" t="str">
        <x:v>Operating Account</x:v>
      </x:c>
      <x:c r="D28" t="str">
        <x:v>outflow</x:v>
      </x:c>
      <x:c r="E28" t="str">
        <x:v>Rent</x:v>
      </x:c>
      <x:c r="F28" t="str">
        <x:v>Harbor Properties</x:v>
      </x:c>
      <x:c r="G28" s="14" t="n">
        <x:v>7800</x:v>
      </x:c>
      <x:c r="H28" t="str">
        <x:v>actual</x:v>
      </x:c>
      <x:c r="I28" t="str">
        <x:v>Office and warehouse rent</x:v>
      </x:c>
    </x:row>
    <x:row r="29">
      <x:c r="A29" t="str">
        <x:v>TX-0028</x:v>
      </x:c>
      <x:c r="B29" s="5" t="n">
        <x:v>46150</x:v>
      </x:c>
      <x:c r="C29" t="str">
        <x:v>Operating Account</x:v>
      </x:c>
      <x:c r="D29" t="str">
        <x:v>inflow</x:v>
      </x:c>
      <x:c r="E29" t="str">
        <x:v>Customer Receipts</x:v>
      </x:c>
      <x:c r="F29" t="str">
        <x:v>Apex Distribution</x:v>
      </x:c>
      <x:c r="G29" s="14" t="n">
        <x:v>44500</x:v>
      </x:c>
      <x:c r="H29" t="str">
        <x:v>actual</x:v>
      </x:c>
      <x:c r="I29" t="str">
        <x:v>Weekly customer collections</x:v>
      </x:c>
    </x:row>
    <x:row r="30">
      <x:c r="A30" t="str">
        <x:v>TX-0029</x:v>
      </x:c>
      <x:c r="B30" s="5" t="n">
        <x:v>46151</x:v>
      </x:c>
      <x:c r="C30" t="str">
        <x:v>Operating Account</x:v>
      </x:c>
      <x:c r="D30" t="str">
        <x:v>outflow</x:v>
      </x:c>
      <x:c r="E30" t="str">
        <x:v>Payroll</x:v>
      </x:c>
      <x:c r="F30" t="str">
        <x:v>Payroll Provider</x:v>
      </x:c>
      <x:c r="G30" s="14" t="n">
        <x:v>18000</x:v>
      </x:c>
      <x:c r="H30" t="str">
        <x:v>actual</x:v>
      </x:c>
      <x:c r="I30" t="str">
        <x:v>Weekly payroll and benefits</x:v>
      </x:c>
    </x:row>
    <x:row r="31">
      <x:c r="A31" t="str">
        <x:v>TX-0030</x:v>
      </x:c>
      <x:c r="B31" s="5" t="n">
        <x:v>46152</x:v>
      </x:c>
      <x:c r="C31" t="str">
        <x:v>Operating Account</x:v>
      </x:c>
      <x:c r="D31" t="str">
        <x:v>outflow</x:v>
      </x:c>
      <x:c r="E31" t="str">
        <x:v>Suppliers</x:v>
      </x:c>
      <x:c r="F31" t="str">
        <x:v>TransitWorks</x:v>
      </x:c>
      <x:c r="G31" s="14" t="n">
        <x:v>9300</x:v>
      </x:c>
      <x:c r="H31" t="str">
        <x:v>actual</x:v>
      </x:c>
      <x:c r="I31" t="str">
        <x:v>Inventory and fulfillment vendors</x:v>
      </x:c>
    </x:row>
    <x:row r="32">
      <x:c r="A32" t="str">
        <x:v>TX-0031</x:v>
      </x:c>
      <x:c r="B32" s="5" t="n">
        <x:v>46153</x:v>
      </x:c>
      <x:c r="C32" t="str">
        <x:v>Operating Account</x:v>
      </x:c>
      <x:c r="D32" t="str">
        <x:v>outflow</x:v>
      </x:c>
      <x:c r="E32" t="str">
        <x:v>Cloud &amp; Software</x:v>
      </x:c>
      <x:c r="F32" t="str">
        <x:v>CloudStack</x:v>
      </x:c>
      <x:c r="G32" s="14" t="n">
        <x:v>2900</x:v>
      </x:c>
      <x:c r="H32" t="str">
        <x:v>actual</x:v>
      </x:c>
      <x:c r="I32" t="str">
        <x:v>Cloud and SaaS services</x:v>
      </x:c>
    </x:row>
    <x:row r="33">
      <x:c r="A33" t="str">
        <x:v>TX-0032</x:v>
      </x:c>
      <x:c r="B33" s="5" t="n">
        <x:v>46154</x:v>
      </x:c>
      <x:c r="C33" t="str">
        <x:v>Operating Account</x:v>
      </x:c>
      <x:c r="D33" t="str">
        <x:v>outflow</x:v>
      </x:c>
      <x:c r="E33" t="str">
        <x:v>Marketing</x:v>
      </x:c>
      <x:c r="F33" t="str">
        <x:v>Growth Media</x:v>
      </x:c>
      <x:c r="G33" s="14" t="n">
        <x:v>4800</x:v>
      </x:c>
      <x:c r="H33" t="str">
        <x:v>actual</x:v>
      </x:c>
      <x:c r="I33" t="str">
        <x:v>Performance marketing</x:v>
      </x:c>
    </x:row>
    <x:row r="34">
      <x:c r="A34" t="str">
        <x:v>TX-0033</x:v>
      </x:c>
      <x:c r="B34" s="5" t="n">
        <x:v>46157</x:v>
      </x:c>
      <x:c r="C34" t="str">
        <x:v>Operating Account</x:v>
      </x:c>
      <x:c r="D34" t="str">
        <x:v>inflow</x:v>
      </x:c>
      <x:c r="E34" t="str">
        <x:v>Customer Receipts</x:v>
      </x:c>
      <x:c r="F34" t="str">
        <x:v>BluePeak Foods</x:v>
      </x:c>
      <x:c r="G34" s="14" t="n">
        <x:v>39000</x:v>
      </x:c>
      <x:c r="H34" t="str">
        <x:v>actual</x:v>
      </x:c>
      <x:c r="I34" t="str">
        <x:v>Weekly customer collections</x:v>
      </x:c>
    </x:row>
    <x:row r="35">
      <x:c r="A35" t="str">
        <x:v>TX-0034</x:v>
      </x:c>
      <x:c r="B35" s="5" t="n">
        <x:v>46158</x:v>
      </x:c>
      <x:c r="C35" t="str">
        <x:v>Operating Account</x:v>
      </x:c>
      <x:c r="D35" t="str">
        <x:v>outflow</x:v>
      </x:c>
      <x:c r="E35" t="str">
        <x:v>Payroll</x:v>
      </x:c>
      <x:c r="F35" t="str">
        <x:v>Payroll Provider</x:v>
      </x:c>
      <x:c r="G35" s="14" t="n">
        <x:v>18000</x:v>
      </x:c>
      <x:c r="H35" t="str">
        <x:v>actual</x:v>
      </x:c>
      <x:c r="I35" t="str">
        <x:v>Weekly payroll and benefits</x:v>
      </x:c>
    </x:row>
    <x:row r="36">
      <x:c r="A36" t="str">
        <x:v>TX-0035</x:v>
      </x:c>
      <x:c r="B36" s="5" t="n">
        <x:v>46159</x:v>
      </x:c>
      <x:c r="C36" t="str">
        <x:v>Operating Account</x:v>
      </x:c>
      <x:c r="D36" t="str">
        <x:v>outflow</x:v>
      </x:c>
      <x:c r="E36" t="str">
        <x:v>Suppliers</x:v>
      </x:c>
      <x:c r="F36" t="str">
        <x:v>Core Materials</x:v>
      </x:c>
      <x:c r="G36" s="14" t="n">
        <x:v>7600</x:v>
      </x:c>
      <x:c r="H36" t="str">
        <x:v>actual</x:v>
      </x:c>
      <x:c r="I36" t="str">
        <x:v>Inventory and fulfillment vendors</x:v>
      </x:c>
    </x:row>
    <x:row r="37">
      <x:c r="A37" t="str">
        <x:v>TX-0036</x:v>
      </x:c>
      <x:c r="B37" s="5" t="n">
        <x:v>46160</x:v>
      </x:c>
      <x:c r="C37" t="str">
        <x:v>Operating Account</x:v>
      </x:c>
      <x:c r="D37" t="str">
        <x:v>outflow</x:v>
      </x:c>
      <x:c r="E37" t="str">
        <x:v>Cloud &amp; Software</x:v>
      </x:c>
      <x:c r="F37" t="str">
        <x:v>CloudStack</x:v>
      </x:c>
      <x:c r="G37" s="14" t="n">
        <x:v>2900</x:v>
      </x:c>
      <x:c r="H37" t="str">
        <x:v>actual</x:v>
      </x:c>
      <x:c r="I37" t="str">
        <x:v>Cloud and SaaS services</x:v>
      </x:c>
    </x:row>
    <x:row r="38">
      <x:c r="A38" t="str">
        <x:v>TX-0037</x:v>
      </x:c>
      <x:c r="B38" s="5" t="n">
        <x:v>46161</x:v>
      </x:c>
      <x:c r="C38" t="str">
        <x:v>Operating Account</x:v>
      </x:c>
      <x:c r="D38" t="str">
        <x:v>outflow</x:v>
      </x:c>
      <x:c r="E38" t="str">
        <x:v>Marketing</x:v>
      </x:c>
      <x:c r="F38" t="str">
        <x:v>Growth Media</x:v>
      </x:c>
      <x:c r="G38" s="14" t="n">
        <x:v>4300</x:v>
      </x:c>
      <x:c r="H38" t="str">
        <x:v>actual</x:v>
      </x:c>
      <x:c r="I38" t="str">
        <x:v>Performance marketing</x:v>
      </x:c>
    </x:row>
    <x:row r="39">
      <x:c r="A39" t="str">
        <x:v>TX-0038</x:v>
      </x:c>
      <x:c r="B39" s="5" t="n">
        <x:v>46164</x:v>
      </x:c>
      <x:c r="C39" t="str">
        <x:v>Operating Account</x:v>
      </x:c>
      <x:c r="D39" t="str">
        <x:v>inflow</x:v>
      </x:c>
      <x:c r="E39" t="str">
        <x:v>Customer Receipts</x:v>
      </x:c>
      <x:c r="F39" t="str">
        <x:v>Vertex Labs</x:v>
      </x:c>
      <x:c r="G39" s="14" t="n">
        <x:v>48000</x:v>
      </x:c>
      <x:c r="H39" t="str">
        <x:v>actual</x:v>
      </x:c>
      <x:c r="I39" t="str">
        <x:v>Weekly customer collections</x:v>
      </x:c>
    </x:row>
    <x:row r="40">
      <x:c r="A40" t="str">
        <x:v>TX-0039</x:v>
      </x:c>
      <x:c r="B40" s="5" t="n">
        <x:v>46165</x:v>
      </x:c>
      <x:c r="C40" t="str">
        <x:v>Operating Account</x:v>
      </x:c>
      <x:c r="D40" t="str">
        <x:v>outflow</x:v>
      </x:c>
      <x:c r="E40" t="str">
        <x:v>Payroll</x:v>
      </x:c>
      <x:c r="F40" t="str">
        <x:v>Payroll Provider</x:v>
      </x:c>
      <x:c r="G40" s="14" t="n">
        <x:v>18000</x:v>
      </x:c>
      <x:c r="H40" t="str">
        <x:v>actual</x:v>
      </x:c>
      <x:c r="I40" t="str">
        <x:v>Weekly payroll and benefits</x:v>
      </x:c>
    </x:row>
    <x:row r="41">
      <x:c r="A41" t="str">
        <x:v>TX-0040</x:v>
      </x:c>
      <x:c r="B41" s="5" t="n">
        <x:v>46166</x:v>
      </x:c>
      <x:c r="C41" t="str">
        <x:v>Operating Account</x:v>
      </x:c>
      <x:c r="D41" t="str">
        <x:v>outflow</x:v>
      </x:c>
      <x:c r="E41" t="str">
        <x:v>Suppliers</x:v>
      </x:c>
      <x:c r="F41" t="str">
        <x:v>PackRight</x:v>
      </x:c>
      <x:c r="G41" s="14" t="n">
        <x:v>8450</x:v>
      </x:c>
      <x:c r="H41" t="str">
        <x:v>actual</x:v>
      </x:c>
      <x:c r="I41" t="str">
        <x:v>Inventory and fulfillment vendors</x:v>
      </x:c>
    </x:row>
    <x:row r="42">
      <x:c r="A42" t="str">
        <x:v>TX-0041</x:v>
      </x:c>
      <x:c r="B42" s="5" t="n">
        <x:v>46167</x:v>
      </x:c>
      <x:c r="C42" t="str">
        <x:v>Operating Account</x:v>
      </x:c>
      <x:c r="D42" t="str">
        <x:v>outflow</x:v>
      </x:c>
      <x:c r="E42" t="str">
        <x:v>Cloud &amp; Software</x:v>
      </x:c>
      <x:c r="F42" t="str">
        <x:v>CloudStack</x:v>
      </x:c>
      <x:c r="G42" s="14" t="n">
        <x:v>2900</x:v>
      </x:c>
      <x:c r="H42" t="str">
        <x:v>actual</x:v>
      </x:c>
      <x:c r="I42" t="str">
        <x:v>Cloud and SaaS services</x:v>
      </x:c>
    </x:row>
    <x:row r="43">
      <x:c r="A43" t="str">
        <x:v>TX-0042</x:v>
      </x:c>
      <x:c r="B43" s="5" t="n">
        <x:v>46168</x:v>
      </x:c>
      <x:c r="C43" t="str">
        <x:v>Operating Account</x:v>
      </x:c>
      <x:c r="D43" t="str">
        <x:v>outflow</x:v>
      </x:c>
      <x:c r="E43" t="str">
        <x:v>Marketing</x:v>
      </x:c>
      <x:c r="F43" t="str">
        <x:v>Growth Media</x:v>
      </x:c>
      <x:c r="G43" s="14" t="n">
        <x:v>4800</x:v>
      </x:c>
      <x:c r="H43" t="str">
        <x:v>actual</x:v>
      </x:c>
      <x:c r="I43" t="str">
        <x:v>Performance marketing</x:v>
      </x:c>
    </x:row>
    <x:row r="44">
      <x:c r="A44" t="str">
        <x:v>TX-0043</x:v>
      </x:c>
      <x:c r="B44" s="5" t="n">
        <x:v>46171</x:v>
      </x:c>
      <x:c r="C44" t="str">
        <x:v>Operating Account</x:v>
      </x:c>
      <x:c r="D44" t="str">
        <x:v>inflow</x:v>
      </x:c>
      <x:c r="E44" t="str">
        <x:v>Customer Receipts</x:v>
      </x:c>
      <x:c r="F44" t="str">
        <x:v>Northstar Retail</x:v>
      </x:c>
      <x:c r="G44" s="14" t="n">
        <x:v>41500</x:v>
      </x:c>
      <x:c r="H44" t="str">
        <x:v>actual</x:v>
      </x:c>
      <x:c r="I44" t="str">
        <x:v>Weekly customer collections</x:v>
      </x:c>
    </x:row>
    <x:row r="45">
      <x:c r="A45" t="str">
        <x:v>TX-0044</x:v>
      </x:c>
      <x:c r="B45" s="5" t="n">
        <x:v>46172</x:v>
      </x:c>
      <x:c r="C45" t="str">
        <x:v>Operating Account</x:v>
      </x:c>
      <x:c r="D45" t="str">
        <x:v>outflow</x:v>
      </x:c>
      <x:c r="E45" t="str">
        <x:v>Payroll</x:v>
      </x:c>
      <x:c r="F45" t="str">
        <x:v>Payroll Provider</x:v>
      </x:c>
      <x:c r="G45" s="14" t="n">
        <x:v>18000</x:v>
      </x:c>
      <x:c r="H45" t="str">
        <x:v>actual</x:v>
      </x:c>
      <x:c r="I45" t="str">
        <x:v>Weekly payroll and benefits</x:v>
      </x:c>
    </x:row>
    <x:row r="46">
      <x:c r="A46" t="str">
        <x:v>TX-0045</x:v>
      </x:c>
      <x:c r="B46" s="5" t="n">
        <x:v>46173</x:v>
      </x:c>
      <x:c r="C46" t="str">
        <x:v>Operating Account</x:v>
      </x:c>
      <x:c r="D46" t="str">
        <x:v>outflow</x:v>
      </x:c>
      <x:c r="E46" t="str">
        <x:v>Suppliers</x:v>
      </x:c>
      <x:c r="F46" t="str">
        <x:v>TransitWorks</x:v>
      </x:c>
      <x:c r="G46" s="14" t="n">
        <x:v>9300</x:v>
      </x:c>
      <x:c r="H46" t="str">
        <x:v>actual</x:v>
      </x:c>
      <x:c r="I46" t="str">
        <x:v>Inventory and fulfillment vendors</x:v>
      </x:c>
    </x:row>
    <x:row r="47">
      <x:c r="A47" t="str">
        <x:v>TX-0046</x:v>
      </x:c>
      <x:c r="B47" s="5" t="n">
        <x:v>46174</x:v>
      </x:c>
      <x:c r="C47" t="str">
        <x:v>Operating Account</x:v>
      </x:c>
      <x:c r="D47" t="str">
        <x:v>outflow</x:v>
      </x:c>
      <x:c r="E47" t="str">
        <x:v>Cloud &amp; Software</x:v>
      </x:c>
      <x:c r="F47" t="str">
        <x:v>CloudStack</x:v>
      </x:c>
      <x:c r="G47" s="14" t="n">
        <x:v>15000</x:v>
      </x:c>
      <x:c r="H47" t="str">
        <x:v>actual</x:v>
      </x:c>
      <x:c r="I47" t="str">
        <x:v>Annual platform true-up</x:v>
      </x:c>
    </x:row>
    <x:row r="48">
      <x:c r="A48" t="str">
        <x:v>TX-0047</x:v>
      </x:c>
      <x:c r="B48" s="5" t="n">
        <x:v>46175</x:v>
      </x:c>
      <x:c r="C48" t="str">
        <x:v>Operating Account</x:v>
      </x:c>
      <x:c r="D48" t="str">
        <x:v>outflow</x:v>
      </x:c>
      <x:c r="E48" t="str">
        <x:v>Marketing</x:v>
      </x:c>
      <x:c r="F48" t="str">
        <x:v>Growth Media</x:v>
      </x:c>
      <x:c r="G48" s="14" t="n">
        <x:v>4300</x:v>
      </x:c>
      <x:c r="H48" t="str">
        <x:v>actual</x:v>
      </x:c>
      <x:c r="I48" t="str">
        <x:v>Performance marketing</x:v>
      </x:c>
    </x:row>
    <x:row r="49">
      <x:c r="A49" t="str">
        <x:v>TX-0048</x:v>
      </x:c>
      <x:c r="B49" s="5" t="n">
        <x:v>46172</x:v>
      </x:c>
      <x:c r="C49" t="str">
        <x:v>Operating Account</x:v>
      </x:c>
      <x:c r="D49" t="str">
        <x:v>outflow</x:v>
      </x:c>
      <x:c r="E49" t="str">
        <x:v>Rent</x:v>
      </x:c>
      <x:c r="F49" t="str">
        <x:v>Harbor Properties</x:v>
      </x:c>
      <x:c r="G49" s="14" t="n">
        <x:v>7800</x:v>
      </x:c>
      <x:c r="H49" t="str">
        <x:v>actual</x:v>
      </x:c>
      <x:c r="I49" t="str">
        <x:v>Office and warehouse rent</x:v>
      </x:c>
    </x:row>
    <x:row r="50">
      <x:c r="A50" t="str">
        <x:v>TX-0049</x:v>
      </x:c>
      <x:c r="B50" s="5" t="n">
        <x:v>46178</x:v>
      </x:c>
      <x:c r="C50" t="str">
        <x:v>Operating Account</x:v>
      </x:c>
      <x:c r="D50" t="str">
        <x:v>inflow</x:v>
      </x:c>
      <x:c r="E50" t="str">
        <x:v>Customer Receipts</x:v>
      </x:c>
      <x:c r="F50" t="str">
        <x:v>Apex Distribution</x:v>
      </x:c>
      <x:c r="G50" s="14" t="n">
        <x:v>45500</x:v>
      </x:c>
      <x:c r="H50" t="str">
        <x:v>actual</x:v>
      </x:c>
      <x:c r="I50" t="str">
        <x:v>Weekly customer collections</x:v>
      </x:c>
    </x:row>
    <x:row r="51">
      <x:c r="A51" t="str">
        <x:v>TX-0050</x:v>
      </x:c>
      <x:c r="B51" s="5" t="n">
        <x:v>46179</x:v>
      </x:c>
      <x:c r="C51" t="str">
        <x:v>Operating Account</x:v>
      </x:c>
      <x:c r="D51" t="str">
        <x:v>outflow</x:v>
      </x:c>
      <x:c r="E51" t="str">
        <x:v>Payroll</x:v>
      </x:c>
      <x:c r="F51" t="str">
        <x:v>Payroll Provider</x:v>
      </x:c>
      <x:c r="G51" s="14" t="n">
        <x:v>18000</x:v>
      </x:c>
      <x:c r="H51" t="str">
        <x:v>actual</x:v>
      </x:c>
      <x:c r="I51" t="str">
        <x:v>Weekly payroll and benefits</x:v>
      </x:c>
    </x:row>
    <x:row r="52">
      <x:c r="A52" t="str">
        <x:v>TX-0051</x:v>
      </x:c>
      <x:c r="B52" s="5" t="n">
        <x:v>46180</x:v>
      </x:c>
      <x:c r="C52" t="str">
        <x:v>Operating Account</x:v>
      </x:c>
      <x:c r="D52" t="str">
        <x:v>outflow</x:v>
      </x:c>
      <x:c r="E52" t="str">
        <x:v>Suppliers</x:v>
      </x:c>
      <x:c r="F52" t="str">
        <x:v>Core Materials</x:v>
      </x:c>
      <x:c r="G52" s="14" t="n">
        <x:v>7600</x:v>
      </x:c>
      <x:c r="H52" t="str">
        <x:v>actual</x:v>
      </x:c>
      <x:c r="I52" t="str">
        <x:v>Inventory and fulfillment vendors</x:v>
      </x:c>
    </x:row>
    <x:row r="53">
      <x:c r="A53" t="str">
        <x:v>TX-0052</x:v>
      </x:c>
      <x:c r="B53" s="5" t="n">
        <x:v>46181</x:v>
      </x:c>
      <x:c r="C53" t="str">
        <x:v>Operating Account</x:v>
      </x:c>
      <x:c r="D53" t="str">
        <x:v>outflow</x:v>
      </x:c>
      <x:c r="E53" t="str">
        <x:v>Cloud &amp; Software</x:v>
      </x:c>
      <x:c r="F53" t="str">
        <x:v>CloudStack</x:v>
      </x:c>
      <x:c r="G53" s="14" t="n">
        <x:v>2900</x:v>
      </x:c>
      <x:c r="H53" t="str">
        <x:v>actual</x:v>
      </x:c>
      <x:c r="I53" t="str">
        <x:v>Cloud and SaaS services</x:v>
      </x:c>
    </x:row>
    <x:row r="54">
      <x:c r="A54" t="str">
        <x:v>TX-0053</x:v>
      </x:c>
      <x:c r="B54" s="5" t="n">
        <x:v>46182</x:v>
      </x:c>
      <x:c r="C54" t="str">
        <x:v>Operating Account</x:v>
      </x:c>
      <x:c r="D54" t="str">
        <x:v>outflow</x:v>
      </x:c>
      <x:c r="E54" t="str">
        <x:v>Marketing</x:v>
      </x:c>
      <x:c r="F54" t="str">
        <x:v>Growth Media</x:v>
      </x:c>
      <x:c r="G54" s="14" t="n">
        <x:v>24000</x:v>
      </x:c>
      <x:c r="H54" t="str">
        <x:v>actual</x:v>
      </x:c>
      <x:c r="I54" t="str">
        <x:v>Unplanned campaign expansion</x:v>
      </x:c>
    </x:row>
    <x:row r="55">
      <x:c r="A55" t="str">
        <x:v>TX-0054</x:v>
      </x:c>
      <x:c r="B55" s="5" t="n">
        <x:v>46185</x:v>
      </x:c>
      <x:c r="C55" t="str">
        <x:v>Operating Account</x:v>
      </x:c>
      <x:c r="D55" t="str">
        <x:v>inflow</x:v>
      </x:c>
      <x:c r="E55" t="str">
        <x:v>Customer Receipts</x:v>
      </x:c>
      <x:c r="F55" t="str">
        <x:v>BluePeak Foods</x:v>
      </x:c>
      <x:c r="G55" s="14" t="n">
        <x:v>37000</x:v>
      </x:c>
      <x:c r="H55" t="str">
        <x:v>actual</x:v>
      </x:c>
      <x:c r="I55" t="str">
        <x:v>Weekly customer collections</x:v>
      </x:c>
    </x:row>
    <x:row r="56">
      <x:c r="A56" t="str">
        <x:v>TX-0055</x:v>
      </x:c>
      <x:c r="B56" s="5" t="n">
        <x:v>46186</x:v>
      </x:c>
      <x:c r="C56" t="str">
        <x:v>Operating Account</x:v>
      </x:c>
      <x:c r="D56" t="str">
        <x:v>outflow</x:v>
      </x:c>
      <x:c r="E56" t="str">
        <x:v>Payroll</x:v>
      </x:c>
      <x:c r="F56" t="str">
        <x:v>Payroll Provider</x:v>
      </x:c>
      <x:c r="G56" s="14" t="n">
        <x:v>18000</x:v>
      </x:c>
      <x:c r="H56" t="str">
        <x:v>actual</x:v>
      </x:c>
      <x:c r="I56" t="str">
        <x:v>Weekly payroll and benefits</x:v>
      </x:c>
    </x:row>
    <x:row r="57">
      <x:c r="A57" t="str">
        <x:v>TX-0056</x:v>
      </x:c>
      <x:c r="B57" s="5" t="n">
        <x:v>46187</x:v>
      </x:c>
      <x:c r="C57" t="str">
        <x:v>Operating Account</x:v>
      </x:c>
      <x:c r="D57" t="str">
        <x:v>outflow</x:v>
      </x:c>
      <x:c r="E57" t="str">
        <x:v>Suppliers</x:v>
      </x:c>
      <x:c r="F57" t="str">
        <x:v>PackRight</x:v>
      </x:c>
      <x:c r="G57" s="14" t="n">
        <x:v>8450</x:v>
      </x:c>
      <x:c r="H57" t="str">
        <x:v>actual</x:v>
      </x:c>
      <x:c r="I57" t="str">
        <x:v>Inventory and fulfillment vendors</x:v>
      </x:c>
    </x:row>
    <x:row r="58">
      <x:c r="A58" t="str">
        <x:v>TX-0057</x:v>
      </x:c>
      <x:c r="B58" s="5" t="n">
        <x:v>46188</x:v>
      </x:c>
      <x:c r="C58" t="str">
        <x:v>Operating Account</x:v>
      </x:c>
      <x:c r="D58" t="str">
        <x:v>outflow</x:v>
      </x:c>
      <x:c r="E58" t="str">
        <x:v>Cloud &amp; Software</x:v>
      </x:c>
      <x:c r="F58" t="str">
        <x:v>CloudStack</x:v>
      </x:c>
      <x:c r="G58" s="14" t="n">
        <x:v>2900</x:v>
      </x:c>
      <x:c r="H58" t="str">
        <x:v>actual</x:v>
      </x:c>
      <x:c r="I58" t="str">
        <x:v>Cloud and SaaS services</x:v>
      </x:c>
    </x:row>
    <x:row r="59">
      <x:c r="A59" t="str">
        <x:v>TX-0058</x:v>
      </x:c>
      <x:c r="B59" s="5" t="n">
        <x:v>46189</x:v>
      </x:c>
      <x:c r="C59" t="str">
        <x:v>Operating Account</x:v>
      </x:c>
      <x:c r="D59" t="str">
        <x:v>outflow</x:v>
      </x:c>
      <x:c r="E59" t="str">
        <x:v>Marketing</x:v>
      </x:c>
      <x:c r="F59" t="str">
        <x:v>Growth Media</x:v>
      </x:c>
      <x:c r="G59" s="14" t="n">
        <x:v>4300</x:v>
      </x:c>
      <x:c r="H59" t="str">
        <x:v>actual</x:v>
      </x:c>
      <x:c r="I59" t="str">
        <x:v>Performance marketing</x:v>
      </x:c>
    </x:row>
    <x:row r="60">
      <x:c r="A60" t="str">
        <x:v>TX-0059</x:v>
      </x:c>
      <x:c r="B60" s="5" t="n">
        <x:v>46192</x:v>
      </x:c>
      <x:c r="C60" t="str">
        <x:v>Operating Account</x:v>
      </x:c>
      <x:c r="D60" t="str">
        <x:v>inflow</x:v>
      </x:c>
      <x:c r="E60" t="str">
        <x:v>Customer Receipts</x:v>
      </x:c>
      <x:c r="F60" t="str">
        <x:v>Vertex Labs</x:v>
      </x:c>
      <x:c r="G60" s="14" t="n">
        <x:v>49000</x:v>
      </x:c>
      <x:c r="H60" t="str">
        <x:v>actual</x:v>
      </x:c>
      <x:c r="I60" t="str">
        <x:v>Weekly customer collections</x:v>
      </x:c>
    </x:row>
    <x:row r="61">
      <x:c r="A61" t="str">
        <x:v>TX-0060</x:v>
      </x:c>
      <x:c r="B61" s="5" t="n">
        <x:v>46193</x:v>
      </x:c>
      <x:c r="C61" t="str">
        <x:v>Operating Account</x:v>
      </x:c>
      <x:c r="D61" t="str">
        <x:v>outflow</x:v>
      </x:c>
      <x:c r="E61" t="str">
        <x:v>Payroll</x:v>
      </x:c>
      <x:c r="F61" t="str">
        <x:v>Payroll Provider</x:v>
      </x:c>
      <x:c r="G61" s="14" t="n">
        <x:v>18000</x:v>
      </x:c>
      <x:c r="H61" t="str">
        <x:v>actual</x:v>
      </x:c>
      <x:c r="I61" t="str">
        <x:v>Weekly payroll and benefits</x:v>
      </x:c>
    </x:row>
    <x:row r="62">
      <x:c r="A62" t="str">
        <x:v>TX-0061</x:v>
      </x:c>
      <x:c r="B62" s="5" t="n">
        <x:v>46194</x:v>
      </x:c>
      <x:c r="C62" t="str">
        <x:v>Operating Account</x:v>
      </x:c>
      <x:c r="D62" t="str">
        <x:v>outflow</x:v>
      </x:c>
      <x:c r="E62" t="str">
        <x:v>Suppliers</x:v>
      </x:c>
      <x:c r="F62" t="str">
        <x:v>TransitWorks</x:v>
      </x:c>
      <x:c r="G62" s="14" t="n">
        <x:v>9300</x:v>
      </x:c>
      <x:c r="H62" t="str">
        <x:v>actual</x:v>
      </x:c>
      <x:c r="I62" t="str">
        <x:v>Inventory and fulfillment vendors</x:v>
      </x:c>
    </x:row>
    <x:row r="63">
      <x:c r="A63" t="str">
        <x:v>TX-0062</x:v>
      </x:c>
      <x:c r="B63" s="5" t="n">
        <x:v>46195</x:v>
      </x:c>
      <x:c r="C63" t="str">
        <x:v>Operating Account</x:v>
      </x:c>
      <x:c r="D63" t="str">
        <x:v>outflow</x:v>
      </x:c>
      <x:c r="E63" t="str">
        <x:v>Cloud &amp; Software</x:v>
      </x:c>
      <x:c r="F63" t="str">
        <x:v>CloudStack</x:v>
      </x:c>
      <x:c r="G63" s="14" t="n">
        <x:v>2900</x:v>
      </x:c>
      <x:c r="H63" t="str">
        <x:v>actual</x:v>
      </x:c>
      <x:c r="I63" t="str">
        <x:v>Cloud and SaaS services</x:v>
      </x:c>
    </x:row>
    <x:row r="64">
      <x:c r="A64" t="str">
        <x:v>TX-0063</x:v>
      </x:c>
      <x:c r="B64" s="5" t="n">
        <x:v>46196</x:v>
      </x:c>
      <x:c r="C64" t="str">
        <x:v>Operating Account</x:v>
      </x:c>
      <x:c r="D64" t="str">
        <x:v>outflow</x:v>
      </x:c>
      <x:c r="E64" t="str">
        <x:v>Marketing</x:v>
      </x:c>
      <x:c r="F64" t="str">
        <x:v>Growth Media</x:v>
      </x:c>
      <x:c r="G64" s="14" t="n">
        <x:v>4800</x:v>
      </x:c>
      <x:c r="H64" t="str">
        <x:v>actual</x:v>
      </x:c>
      <x:c r="I64" t="str">
        <x:v>Performance marketing</x:v>
      </x:c>
    </x:row>
    <x:row r="65">
      <x:c r="A65" t="str">
        <x:v>TX-0064</x:v>
      </x:c>
      <x:c r="B65" s="5" t="n">
        <x:v>46199</x:v>
      </x:c>
      <x:c r="C65" t="str">
        <x:v>Operating Account</x:v>
      </x:c>
      <x:c r="D65" t="str">
        <x:v>inflow</x:v>
      </x:c>
      <x:c r="E65" t="str">
        <x:v>Customer Receipts</x:v>
      </x:c>
      <x:c r="F65" t="str">
        <x:v>Northstar Retail</x:v>
      </x:c>
      <x:c r="G65" s="14" t="n">
        <x:v>43500</x:v>
      </x:c>
      <x:c r="H65" t="str">
        <x:v>actual</x:v>
      </x:c>
      <x:c r="I65" t="str">
        <x:v>Weekly customer collections</x:v>
      </x:c>
    </x:row>
    <x:row r="66">
      <x:c r="A66" t="str">
        <x:v>TX-0065</x:v>
      </x:c>
      <x:c r="B66" s="5" t="n">
        <x:v>46200</x:v>
      </x:c>
      <x:c r="C66" t="str">
        <x:v>Operating Account</x:v>
      </x:c>
      <x:c r="D66" t="str">
        <x:v>outflow</x:v>
      </x:c>
      <x:c r="E66" t="str">
        <x:v>Payroll</x:v>
      </x:c>
      <x:c r="F66" t="str">
        <x:v>Payroll Provider</x:v>
      </x:c>
      <x:c r="G66" s="14" t="n">
        <x:v>18000</x:v>
      </x:c>
      <x:c r="H66" t="str">
        <x:v>actual</x:v>
      </x:c>
      <x:c r="I66" t="str">
        <x:v>Weekly payroll and benefits</x:v>
      </x:c>
    </x:row>
    <x:row r="67">
      <x:c r="A67" t="str">
        <x:v>TX-0066</x:v>
      </x:c>
      <x:c r="B67" s="5" t="n">
        <x:v>46201</x:v>
      </x:c>
      <x:c r="C67" t="str">
        <x:v>Operating Account</x:v>
      </x:c>
      <x:c r="D67" t="str">
        <x:v>outflow</x:v>
      </x:c>
      <x:c r="E67" t="str">
        <x:v>Suppliers</x:v>
      </x:c>
      <x:c r="F67" t="str">
        <x:v>Core Materials</x:v>
      </x:c>
      <x:c r="G67" s="14" t="n">
        <x:v>7600</x:v>
      </x:c>
      <x:c r="H67" t="str">
        <x:v>actual</x:v>
      </x:c>
      <x:c r="I67" t="str">
        <x:v>Inventory and fulfillment vendors</x:v>
      </x:c>
    </x:row>
    <x:row r="68">
      <x:c r="A68" t="str">
        <x:v>TX-0067</x:v>
      </x:c>
      <x:c r="B68" s="5" t="n">
        <x:v>46202</x:v>
      </x:c>
      <x:c r="C68" t="str">
        <x:v>Operating Account</x:v>
      </x:c>
      <x:c r="D68" t="str">
        <x:v>outflow</x:v>
      </x:c>
      <x:c r="E68" t="str">
        <x:v>Cloud &amp; Software</x:v>
      </x:c>
      <x:c r="F68" t="str">
        <x:v>CloudStack</x:v>
      </x:c>
      <x:c r="G68" s="14" t="n">
        <x:v>2900</x:v>
      </x:c>
      <x:c r="H68" t="str">
        <x:v>actual</x:v>
      </x:c>
      <x:c r="I68" t="str">
        <x:v>Cloud and SaaS services</x:v>
      </x:c>
    </x:row>
    <x:row r="69">
      <x:c r="A69" t="str">
        <x:v>TX-0068</x:v>
      </x:c>
      <x:c r="B69" s="5" t="n">
        <x:v>46203</x:v>
      </x:c>
      <x:c r="C69" t="str">
        <x:v>Operating Account</x:v>
      </x:c>
      <x:c r="D69" t="str">
        <x:v>outflow</x:v>
      </x:c>
      <x:c r="E69" t="str">
        <x:v>Marketing</x:v>
      </x:c>
      <x:c r="F69" t="str">
        <x:v>Growth Media</x:v>
      </x:c>
      <x:c r="G69" s="14" t="n">
        <x:v>4300</x:v>
      </x:c>
      <x:c r="H69" t="str">
        <x:v>actual</x:v>
      </x:c>
      <x:c r="I69" t="str">
        <x:v>Performance marketing</x:v>
      </x:c>
    </x:row>
    <x:row r="70">
      <x:c r="A70" t="str">
        <x:v>TX-0069</x:v>
      </x:c>
      <x:c r="B70" s="5" t="n">
        <x:v>46200</x:v>
      </x:c>
      <x:c r="C70" t="str">
        <x:v>Operating Account</x:v>
      </x:c>
      <x:c r="D70" t="str">
        <x:v>outflow</x:v>
      </x:c>
      <x:c r="E70" t="str">
        <x:v>Rent</x:v>
      </x:c>
      <x:c r="F70" t="str">
        <x:v>Harbor Properties</x:v>
      </x:c>
      <x:c r="G70" s="14" t="n">
        <x:v>7800</x:v>
      </x:c>
      <x:c r="H70" t="str">
        <x:v>actual</x:v>
      </x:c>
      <x:c r="I70" t="str">
        <x:v>Office and warehouse rent</x:v>
      </x:c>
    </x:row>
    <x:row r="71">
      <x:c r="A71" t="str">
        <x:v>TX-0070</x:v>
      </x:c>
      <x:c r="B71" s="5" t="n">
        <x:v>46120</x:v>
      </x:c>
      <x:c r="C71" t="str">
        <x:v>Operating Account</x:v>
      </x:c>
      <x:c r="D71" t="str">
        <x:v>outflow</x:v>
      </x:c>
      <x:c r="E71" t="str">
        <x:v>Insurance</x:v>
      </x:c>
      <x:c r="F71" t="str">
        <x:v>SecureCover</x:v>
      </x:c>
      <x:c r="G71" s="14" t="n">
        <x:v>6200</x:v>
      </x:c>
      <x:c r="H71" t="str">
        <x:v>actual</x:v>
      </x:c>
      <x:c r="I71" t="str">
        <x:v>Quarterly insurance premium</x:v>
      </x:c>
    </x:row>
    <x:row r="72">
      <x:c r="A72" t="str">
        <x:v>TX-0071</x:v>
      </x:c>
      <x:c r="B72" s="5" t="n">
        <x:v>46155</x:v>
      </x:c>
      <x:c r="C72" t="str">
        <x:v>Operating Account</x:v>
      </x:c>
      <x:c r="D72" t="str">
        <x:v>outflow</x:v>
      </x:c>
      <x:c r="E72" t="str">
        <x:v>Professional Services</x:v>
      </x:c>
      <x:c r="F72" t="str">
        <x:v>Ledger Advisory</x:v>
      </x:c>
      <x:c r="G72" s="14" t="n">
        <x:v>8500</x:v>
      </x:c>
      <x:c r="H72" t="str">
        <x:v>actual</x:v>
      </x:c>
      <x:c r="I72" t="str">
        <x:v>Audit readiness support</x:v>
      </x:c>
    </x:row>
    <x:row r="73">
      <x:c r="A73" t="str">
        <x:v>TX-0072</x:v>
      </x:c>
      <x:c r="B73" s="5" t="n">
        <x:v>46203</x:v>
      </x:c>
      <x:c r="C73" t="str">
        <x:v>Operating Account</x:v>
      </x:c>
      <x:c r="D73" t="str">
        <x:v>outflow</x:v>
      </x:c>
      <x:c r="E73" t="str">
        <x:v>Tax</x:v>
      </x:c>
      <x:c r="F73" t="str">
        <x:v>Revenue Authority</x:v>
      </x:c>
      <x:c r="G73" s="14" t="n">
        <x:v>12000</x:v>
      </x:c>
      <x:c r="H73" t="str">
        <x:v>actual</x:v>
      </x:c>
      <x:c r="I73" t="str">
        <x:v>Quarterly payroll tax settlement</x:v>
      </x:c>
    </x:row>
    <x:row r="74">
      <x:c r="A74" t="str">
        <x:v>TX-0073</x:v>
      </x:c>
      <x:c r="B74" s="5" t="n">
        <x:v>46218</x:v>
      </x:c>
      <x:c r="C74" t="str">
        <x:v>Operating Account</x:v>
      </x:c>
      <x:c r="D74" t="str">
        <x:v>outflow</x:v>
      </x:c>
      <x:c r="E74" t="str">
        <x:v>Tax</x:v>
      </x:c>
      <x:c r="F74" t="str">
        <x:v>Revenue Authority</x:v>
      </x:c>
      <x:c r="G74" s="14" t="n">
        <x:v>65000</x:v>
      </x:c>
      <x:c r="H74" t="str">
        <x:v>planned</x:v>
      </x:c>
      <x:c r="I74" t="str">
        <x:v>Quarterly corporate tax payment</x:v>
      </x:c>
    </x:row>
    <x:row r="75">
      <x:c r="A75" t="str">
        <x:v>TX-0074</x:v>
      </x:c>
      <x:c r="B75" s="5" t="n">
        <x:v>46231</x:v>
      </x:c>
      <x:c r="C75" t="str">
        <x:v>Operating Account</x:v>
      </x:c>
      <x:c r="D75" t="str">
        <x:v>outflow</x:v>
      </x:c>
      <x:c r="E75" t="str">
        <x:v>Insurance</x:v>
      </x:c>
      <x:c r="F75" t="str">
        <x:v>SecureCover</x:v>
      </x:c>
      <x:c r="G75" s="14" t="n">
        <x:v>18000</x:v>
      </x:c>
      <x:c r="H75" t="str">
        <x:v>planned</x:v>
      </x:c>
      <x:c r="I75" t="str">
        <x:v>Annual policy renewal</x:v>
      </x:c>
    </x:row>
    <x:row r="76">
      <x:c r="A76" t="str">
        <x:v>TX-0075</x:v>
      </x:c>
      <x:c r="B76" s="5" t="n">
        <x:v>46244</x:v>
      </x:c>
      <x:c r="C76" t="str">
        <x:v>Operating Account</x:v>
      </x:c>
      <x:c r="D76" t="str">
        <x:v>outflow</x:v>
      </x:c>
      <x:c r="E76" t="str">
        <x:v>Capital Expenditure</x:v>
      </x:c>
      <x:c r="F76" t="str">
        <x:v>Automation Systems</x:v>
      </x:c>
      <x:c r="G76" s="14" t="n">
        <x:v>90000</x:v>
      </x:c>
      <x:c r="H76" t="str">
        <x:v>planned</x:v>
      </x:c>
      <x:c r="I76" t="str">
        <x:v>Warehouse automation deposit</x:v>
      </x:c>
    </x:row>
    <x:row r="77">
      <x:c r="A77" t="str">
        <x:v>TX-0076</x:v>
      </x:c>
      <x:c r="B77" s="5" t="n">
        <x:v>46254</x:v>
      </x:c>
      <x:c r="C77" t="str">
        <x:v>Operating Account</x:v>
      </x:c>
      <x:c r="D77" t="str">
        <x:v>inflow</x:v>
      </x:c>
      <x:c r="E77" t="str">
        <x:v>Grant</x:v>
      </x:c>
      <x:c r="F77" t="str">
        <x:v>Regional Growth Fund</x:v>
      </x:c>
      <x:c r="G77" s="14" t="n">
        <x:v>25000</x:v>
      </x:c>
      <x:c r="H77" t="str">
        <x:v>planned</x:v>
      </x:c>
      <x:c r="I77" t="str">
        <x:v>Approved growth grant</x:v>
      </x:c>
    </x:row>
    <x:row r="78">
      <x:c r="A78" t="str">
        <x:v>TX-0077</x:v>
      </x:c>
      <x:c r="B78" s="5" t="n">
        <x:v>46265</x:v>
      </x:c>
      <x:c r="C78" t="str">
        <x:v>Operating Account</x:v>
      </x:c>
      <x:c r="D78" t="str">
        <x:v>outflow</x:v>
      </x:c>
      <x:c r="E78" t="str">
        <x:v>Financing</x:v>
      </x:c>
      <x:c r="F78" t="str">
        <x:v>Community Bank</x:v>
      </x:c>
      <x:c r="G78" s="14" t="n">
        <x:v>30000</x:v>
      </x:c>
      <x:c r="H78" t="str">
        <x:v>planned</x:v>
      </x:c>
      <x:c r="I78" t="str">
        <x:v>Debt principal and interest</x:v>
      </x:c>
    </x:row>
    <x:row r="79">
      <x:c r="A79" t="str">
        <x:v>TX-0078</x:v>
      </x:c>
      <x:c r="B79" s="5" t="n">
        <x:v>46283</x:v>
      </x:c>
      <x:c r="C79" t="str">
        <x:v>Operating Account</x:v>
      </x:c>
      <x:c r="D79" t="str">
        <x:v>outflow</x:v>
      </x:c>
      <x:c r="E79" t="str">
        <x:v>Tax</x:v>
      </x:c>
      <x:c r="F79" t="str">
        <x:v>Revenue Authority</x:v>
      </x:c>
      <x:c r="G79" s="14" t="n">
        <x:v>42000</x:v>
      </x:c>
      <x:c r="H79" t="str">
        <x:v>planned</x:v>
      </x:c>
      <x:c r="I79" t="str">
        <x:v>Estimated tax installment</x:v>
      </x:c>
    </x:row>
  </x:sheetData>
  <x:pageMargins left="0.7" right="0.7" top="0.75" bottom="0.75" header="0.3" footer="0.3"/>
  <x:tableParts count="1">
    <x:tablePart xmlns:r="http://schemas.openxmlformats.org/officeDocument/2006/relationships" r:id="Re826ad611dcd4a5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.25" hidden="0" customWidth="1"/>
    <x:col min="2" max="2" width="13.75" hidden="0" customWidth="1"/>
    <x:col min="3" max="3" width="9.130000114440918" hidden="0" customWidth="1"/>
    <x:col min="4" max="4" width="9.130000114440918" hidden="0" customWidth="1"/>
    <x:col min="5" max="5" width="6.630000114440918" hidden="0" customWidth="1"/>
    <x:col min="6" max="6" width="10.75" hidden="0" customWidth="1"/>
    <x:col min="7" max="7" width="11.630000114440918" hidden="0" customWidth="1"/>
    <x:col min="8" max="8" width="7" hidden="0" customWidth="1"/>
  </x:cols>
  <x:sheetData>
    <x:row r="1">
      <x:c r="A1" s="10" t="str">
        <x:v>invoice_id</x:v>
      </x:c>
      <x:c r="B1" s="10" t="str">
        <x:v>customer</x:v>
      </x:c>
      <x:c r="C1" s="10" t="str">
        <x:v>issue_date</x:v>
      </x:c>
      <x:c r="D1" s="10" t="str">
        <x:v>due_date</x:v>
      </x:c>
      <x:c r="E1" s="10" t="str">
        <x:v>amount</x:v>
      </x:c>
      <x:c r="F1" s="10" t="str">
        <x:v>amount_paid</x:v>
      </x:c>
      <x:c r="G1" s="10" t="str">
        <x:v>payment_date</x:v>
      </x:c>
      <x:c r="H1" s="10" t="str">
        <x:v>status</x:v>
      </x:c>
    </x:row>
    <x:row r="2">
      <x:c r="A2" t="str">
        <x:v>INV-1001</x:v>
      </x:c>
      <x:c r="B2" t="str">
        <x:v>Northstar Retail</x:v>
      </x:c>
      <x:c r="C2" s="5" t="n">
        <x:v>46113</x:v>
      </x:c>
      <x:c r="D2" s="5" t="n">
        <x:v>46142</x:v>
      </x:c>
      <x:c r="E2" s="14" t="n">
        <x:v>52000</x:v>
      </x:c>
      <x:c r="F2" s="14" t="n">
        <x:v>52000</x:v>
      </x:c>
      <x:c r="G2" s="5" t="n">
        <x:v>46145</x:v>
      </x:c>
      <x:c r="H2" t="str">
        <x:v>paid</x:v>
      </x:c>
    </x:row>
    <x:row r="3">
      <x:c r="A3" t="str">
        <x:v>INV-1002</x:v>
      </x:c>
      <x:c r="B3" t="str">
        <x:v>Apex Distribution</x:v>
      </x:c>
      <x:c r="C3" s="5" t="n">
        <x:v>46124</x:v>
      </x:c>
      <x:c r="D3" s="5" t="n">
        <x:v>46154</x:v>
      </x:c>
      <x:c r="E3" s="14" t="n">
        <x:v>46000</x:v>
      </x:c>
      <x:c r="F3" s="14" t="n">
        <x:v>46000</x:v>
      </x:c>
      <x:c r="G3" s="5" t="n">
        <x:v>46156</x:v>
      </x:c>
      <x:c r="H3" t="str">
        <x:v>paid</x:v>
      </x:c>
    </x:row>
    <x:row r="4">
      <x:c r="A4" t="str">
        <x:v>INV-1003</x:v>
      </x:c>
      <x:c r="B4" t="str">
        <x:v>BluePeak Foods</x:v>
      </x:c>
      <x:c r="C4" s="5" t="n">
        <x:v>46143</x:v>
      </x:c>
      <x:c r="D4" s="5" t="n">
        <x:v>46173</x:v>
      </x:c>
      <x:c r="E4" s="14" t="n">
        <x:v>61000</x:v>
      </x:c>
      <x:c r="F4" s="14" t="n">
        <x:v>20000</x:v>
      </x:c>
      <x:c r="G4" s="5" t="n">
        <x:v>46178</x:v>
      </x:c>
      <x:c r="H4" t="str">
        <x:v>open</x:v>
      </x:c>
    </x:row>
    <x:row r="5">
      <x:c r="A5" t="str">
        <x:v>INV-1004</x:v>
      </x:c>
      <x:c r="B5" t="str">
        <x:v>Vertex Labs</x:v>
      </x:c>
      <x:c r="C5" s="5" t="n">
        <x:v>46150</x:v>
      </x:c>
      <x:c r="D5" s="5" t="n">
        <x:v>46180</x:v>
      </x:c>
      <x:c r="E5" s="14" t="n">
        <x:v>38000</x:v>
      </x:c>
      <x:c r="F5" s="14" t="n">
        <x:v>0</x:v>
      </x:c>
      <x:c r="G5" s="5" t="str"/>
      <x:c r="H5" t="str">
        <x:v>disputed</x:v>
      </x:c>
    </x:row>
    <x:row r="6">
      <x:c r="A6" t="str">
        <x:v>INV-1005</x:v>
      </x:c>
      <x:c r="B6" t="str">
        <x:v>Northstar Retail</x:v>
      </x:c>
      <x:c r="C6" s="5" t="n">
        <x:v>46160</x:v>
      </x:c>
      <x:c r="D6" s="5" t="n">
        <x:v>46190</x:v>
      </x:c>
      <x:c r="E6" s="14" t="n">
        <x:v>72000</x:v>
      </x:c>
      <x:c r="F6" s="14" t="n">
        <x:v>30000</x:v>
      </x:c>
      <x:c r="G6" s="5" t="n">
        <x:v>46193</x:v>
      </x:c>
      <x:c r="H6" t="str">
        <x:v>open</x:v>
      </x:c>
    </x:row>
    <x:row r="7">
      <x:c r="A7" t="str">
        <x:v>INV-1006</x:v>
      </x:c>
      <x:c r="B7" t="str">
        <x:v>Apex Distribution</x:v>
      </x:c>
      <x:c r="C7" s="5" t="n">
        <x:v>46174</x:v>
      </x:c>
      <x:c r="D7" s="5" t="n">
        <x:v>46204</x:v>
      </x:c>
      <x:c r="E7" s="14" t="n">
        <x:v>58000</x:v>
      </x:c>
      <x:c r="F7" s="14" t="n">
        <x:v>0</x:v>
      </x:c>
      <x:c r="G7" s="5" t="str"/>
      <x:c r="H7" t="str">
        <x:v>open</x:v>
      </x:c>
    </x:row>
    <x:row r="8">
      <x:c r="A8" t="str">
        <x:v>INV-1007</x:v>
      </x:c>
      <x:c r="B8" t="str">
        <x:v>Evergreen Market</x:v>
      </x:c>
      <x:c r="C8" s="5" t="n">
        <x:v>46177</x:v>
      </x:c>
      <x:c r="D8" s="5" t="n">
        <x:v>46207</x:v>
      </x:c>
      <x:c r="E8" s="14" t="n">
        <x:v>27000</x:v>
      </x:c>
      <x:c r="F8" s="14" t="n">
        <x:v>0</x:v>
      </x:c>
      <x:c r="G8" s="5" t="str"/>
      <x:c r="H8" t="str">
        <x:v>open</x:v>
      </x:c>
    </x:row>
    <x:row r="9">
      <x:c r="A9" t="str">
        <x:v>INV-1008</x:v>
      </x:c>
      <x:c r="B9" t="str">
        <x:v>BluePeak Foods</x:v>
      </x:c>
      <x:c r="C9" s="5" t="n">
        <x:v>46183</x:v>
      </x:c>
      <x:c r="D9" s="5" t="n">
        <x:v>46213</x:v>
      </x:c>
      <x:c r="E9" s="14" t="n">
        <x:v>44000</x:v>
      </x:c>
      <x:c r="F9" s="14" t="n">
        <x:v>0</x:v>
      </x:c>
      <x:c r="G9" s="5" t="str"/>
      <x:c r="H9" t="str">
        <x:v>open</x:v>
      </x:c>
    </x:row>
    <x:row r="10">
      <x:c r="A10" t="str">
        <x:v>INV-1009</x:v>
      </x:c>
      <x:c r="B10" t="str">
        <x:v>Vertex Labs</x:v>
      </x:c>
      <x:c r="C10" s="5" t="n">
        <x:v>46188</x:v>
      </x:c>
      <x:c r="D10" s="5" t="n">
        <x:v>46218</x:v>
      </x:c>
      <x:c r="E10" s="14" t="n">
        <x:v>35000</x:v>
      </x:c>
      <x:c r="F10" s="14" t="n">
        <x:v>0</x:v>
      </x:c>
      <x:c r="G10" s="5" t="str"/>
      <x:c r="H10" t="str">
        <x:v>open</x:v>
      </x:c>
    </x:row>
    <x:row r="11">
      <x:c r="A11" t="str">
        <x:v>INV-1010</x:v>
      </x:c>
      <x:c r="B11" t="str">
        <x:v>Northstar Retail</x:v>
      </x:c>
      <x:c r="C11" s="5" t="n">
        <x:v>46193</x:v>
      </x:c>
      <x:c r="D11" s="5" t="n">
        <x:v>46223</x:v>
      </x:c>
      <x:c r="E11" s="14" t="n">
        <x:v>68000</x:v>
      </x:c>
      <x:c r="F11" s="14" t="n">
        <x:v>0</x:v>
      </x:c>
      <x:c r="G11" s="5" t="str"/>
      <x:c r="H11" t="str">
        <x:v>open</x:v>
      </x:c>
    </x:row>
    <x:row r="12">
      <x:c r="A12" t="str">
        <x:v>INV-1011</x:v>
      </x:c>
      <x:c r="B12" t="str">
        <x:v>Apex Distribution</x:v>
      </x:c>
      <x:c r="C12" s="5" t="n">
        <x:v>46197</x:v>
      </x:c>
      <x:c r="D12" s="5" t="n">
        <x:v>46227</x:v>
      </x:c>
      <x:c r="E12" s="14" t="n">
        <x:v>49000</x:v>
      </x:c>
      <x:c r="F12" s="14" t="n">
        <x:v>0</x:v>
      </x:c>
      <x:c r="G12" s="5" t="str"/>
      <x:c r="H12" t="str">
        <x:v>open</x:v>
      </x:c>
    </x:row>
    <x:row r="13">
      <x:c r="A13" t="str">
        <x:v>INV-1012</x:v>
      </x:c>
      <x:c r="B13" t="str">
        <x:v>Evergreen Market</x:v>
      </x:c>
      <x:c r="C13" s="5" t="n">
        <x:v>46200</x:v>
      </x:c>
      <x:c r="D13" s="5" t="n">
        <x:v>46230</x:v>
      </x:c>
      <x:c r="E13" s="14" t="n">
        <x:v>31000</x:v>
      </x:c>
      <x:c r="F13" s="14" t="n">
        <x:v>0</x:v>
      </x:c>
      <x:c r="G13" s="5" t="str"/>
      <x:c r="H13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84f275402a554c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25" hidden="0" customWidth="1"/>
    <x:col min="2" max="2" width="6.130000114440918" hidden="0" customWidth="1"/>
    <x:col min="3" max="3" width="7.5" hidden="0" customWidth="1"/>
    <x:col min="4" max="4" width="8.380000114440918" hidden="0" customWidth="1"/>
    <x:col min="5" max="5" width="5.25" hidden="0" customWidth="1"/>
    <x:col min="6" max="6" width="22" hidden="0" customWidth="1"/>
  </x:cols>
  <x:sheetData>
    <x:row r="1">
      <x:c r="A1" s="10" t="str">
        <x:v>Check</x:v>
      </x:c>
      <x:c r="B1" s="10" t="str">
        <x:v>Actual</x:v>
      </x:c>
      <x:c r="C1" s="10" t="str">
        <x:v>Expected</x:v>
      </x:c>
      <x:c r="D1" s="10" t="str">
        <x:v>Difference</x:v>
      </x:c>
      <x:c r="E1" s="10" t="str">
        <x:v>Status</x:v>
      </x:c>
      <x:c r="F1" s="10" t="str">
        <x:v>Where to fix</x:v>
      </x:c>
    </x:row>
    <x:row r="2">
      <x:c r="A2" t="str">
        <x:v>Transaction rows present</x:v>
      </x:c>
      <x:c r="B2" t="n">
        <x:f>COUNTA('Transactions'!$A$2:$A$79)</x:f>
        <x:v>78</x:v>
      </x:c>
      <x:c r="C2" t="n">
        <x:v>78</x:v>
      </x:c>
      <x:c r="D2" t="n">
        <x:f>B2-C2</x:f>
        <x:v>0</x:v>
      </x:c>
      <x:c r="E2" t="str">
        <x:f>IF(D2=0,"OK","FAIL")</x:f>
        <x:v>OK</x:v>
      </x:c>
      <x:c r="F2" t="str">
        <x:v>Transactions sheet</x:v>
      </x:c>
    </x:row>
    <x:row r="3">
      <x:c r="A3" t="str">
        <x:v>Invoice rows present</x:v>
      </x:c>
      <x:c r="B3" t="n">
        <x:f>COUNTA('Invoices'!$A$2:$A$13)</x:f>
        <x:v>12</x:v>
      </x:c>
      <x:c r="C3" t="n">
        <x:v>12</x:v>
      </x:c>
      <x:c r="D3" t="n">
        <x:f>B3-C3</x:f>
        <x:v>0</x:v>
      </x:c>
      <x:c r="E3" t="str">
        <x:f>IF(D3=0,"OK","FAIL")</x:f>
        <x:v>OK</x:v>
      </x:c>
      <x:c r="F3" t="str">
        <x:v>Invoices sheet</x:v>
      </x:c>
    </x:row>
    <x:row r="4">
      <x:c r="A4" t="str">
        <x:v>Opening cash positive</x:v>
      </x:c>
      <x:c r="B4" t="n">
        <x:f>'Assumptions'!B2</x:f>
        <x:v>180000</x:v>
      </x:c>
      <x:c r="C4" t="n">
        <x:v>1</x:v>
      </x:c>
      <x:c r="D4" t="n">
        <x:f>IF(B4&gt;0,0,1)</x:f>
        <x:v>0</x:v>
      </x:c>
      <x:c r="E4" t="str">
        <x:f>IF(D4=0,"OK","FAIL")</x:f>
        <x:v>OK</x:v>
      </x:c>
      <x:c r="F4" t="str">
        <x:v>Assumptions!B2</x:v>
      </x:c>
    </x:row>
    <x:row r="5">
      <x:c r="A5" t="str">
        <x:v>Minimum buffer positive</x:v>
      </x:c>
      <x:c r="B5" t="n">
        <x:f>'Assumptions'!B3</x:f>
        <x:v>120000</x:v>
      </x:c>
      <x:c r="C5" t="n">
        <x:v>1</x:v>
      </x:c>
      <x:c r="D5" t="n">
        <x:f>IF(B5&gt;0,0,1)</x:f>
        <x:v>0</x:v>
      </x:c>
      <x:c r="E5" t="str">
        <x:f>IF(D5=0,"OK","FAIL")</x:f>
        <x:v>OK</x:v>
      </x:c>
      <x:c r="F5" t="str">
        <x:v>Assumptions!B3</x:v>
      </x:c>
    </x:row>
    <x:row r="7">
      <x:c r="A7" s="15" t="str">
        <x:v>MODEL STATUS</x:v>
      </x:c>
      <x:c r="B7" s="15" t="str">
        <x:f>IF(COUNTIF(E2:E5,"FAIL")=0,"PASS","FAIL")</x:f>
        <x:v>PASS</x:v>
      </x:c>
    </x:row>
  </x:sheetData>
  <x:conditionalFormatting sqref="E2:E5">
    <x:cfRule type="containsText" dxfId="0" priority="1" operator="containsText" text="FAIL"/>
    <x:cfRule type="containsText" dxfId="1" priority="2" operator="containsText" text="OK"/>
  </x:conditionalFormatting>
  <x:pageMargins left="0.7" right="0.7" top="0.75" bottom="0.75" header="0.3" footer="0.3"/>
</x:worksheet>
</file>